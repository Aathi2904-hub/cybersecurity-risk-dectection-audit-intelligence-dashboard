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87ed8b9ac74647/Desktop/"/>
    </mc:Choice>
  </mc:AlternateContent>
  <xr:revisionPtr revIDLastSave="150" documentId="13_ncr:1_{C5B26A3E-D20A-475E-B3B8-02CDB542F0CD}" xr6:coauthVersionLast="47" xr6:coauthVersionMax="47" xr10:uidLastSave="{4BC73FE4-D59E-457B-8708-348768F3C72F}"/>
  <bookViews>
    <workbookView xWindow="-108" yWindow="-108" windowWidth="23256" windowHeight="12456" xr2:uid="{BA637248-097D-46FF-95EC-41136B725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 s="1"/>
  <c r="O3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L3" i="1"/>
  <c r="M3" i="1" s="1"/>
  <c r="N3" i="1" s="1"/>
  <c r="L4" i="1"/>
  <c r="M4" i="1" s="1"/>
  <c r="N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2" i="1"/>
  <c r="M2" i="1" s="1"/>
  <c r="N2" i="1" s="1"/>
  <c r="P3" i="1" l="1"/>
</calcChain>
</file>

<file path=xl/sharedStrings.xml><?xml version="1.0" encoding="utf-8"?>
<sst xmlns="http://schemas.openxmlformats.org/spreadsheetml/2006/main" count="97" uniqueCount="53">
  <si>
    <t>Risk_ID</t>
  </si>
  <si>
    <t>employee_ID</t>
  </si>
  <si>
    <t>Department</t>
  </si>
  <si>
    <t>Event_type</t>
  </si>
  <si>
    <t>Failed_Login_Count</t>
  </si>
  <si>
    <t>Sensitive_File_Access</t>
  </si>
  <si>
    <t>Policy_Violation</t>
  </si>
  <si>
    <t>Training_Status</t>
  </si>
  <si>
    <t>Audit_Status</t>
  </si>
  <si>
    <t>Identified_Date</t>
  </si>
  <si>
    <t>Due_Date</t>
  </si>
  <si>
    <t>Risk_Score</t>
  </si>
  <si>
    <t>Risk_Level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</si>
  <si>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</si>
  <si>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</si>
  <si>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</si>
  <si>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</si>
  <si>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</si>
  <si>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</si>
  <si>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</si>
  <si>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</si>
  <si>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</si>
  <si>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</si>
  <si>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</si>
  <si>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</si>
  <si>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</si>
  <si>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</si>
  <si>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</si>
  <si>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</si>
  <si>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</si>
  <si>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</si>
  <si>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</si>
  <si>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</si>
  <si>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IT</t>
  </si>
  <si>
    <t>FINANCE</t>
  </si>
  <si>
    <t>HR</t>
  </si>
  <si>
    <t>SALES</t>
  </si>
  <si>
    <t xml:space="preserve">IT </t>
  </si>
  <si>
    <t>Failed login</t>
  </si>
  <si>
    <t>Sensitive Access</t>
  </si>
  <si>
    <t>Policy Violation</t>
  </si>
  <si>
    <t>Unusual Activity</t>
  </si>
  <si>
    <t>NO</t>
  </si>
  <si>
    <t>YES</t>
  </si>
  <si>
    <t>Completed</t>
  </si>
  <si>
    <t>Pending</t>
  </si>
  <si>
    <t>Open</t>
  </si>
  <si>
    <t>Closed</t>
  </si>
  <si>
    <t>In Progress</t>
  </si>
  <si>
    <t xml:space="preserve"> </t>
  </si>
  <si>
    <t>Risk_Priority</t>
  </si>
  <si>
    <t>Audit_Timeliness</t>
  </si>
  <si>
    <t>Overall_Status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</si>
</sst>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0EB61-28C1-480E-A3B6-E030591FFA26}" name="SecurityRiskData" displayName="SecurityRiskData" ref="A1:P11" totalsRowShown="0">
  <autoFilter ref="A1:P11" xr:uid="{6220EB61-28C1-480E-A3B6-E030591FFA26}"/>
  <tableColumns count="16">
    <tableColumn id="1" xr3:uid="{740B0734-054E-4B3F-9A00-9FCA0ED2D847}" name="Risk_ID"/>
    <tableColumn id="2" xr3:uid="{0B8A7836-B6F6-4D24-8F3B-DA07B3850D27}" name="employee_ID"/>
    <tableColumn id="3" xr3:uid="{84AFF3F1-DB55-4388-96F6-9345B75D37F9}" name="Department"/>
    <tableColumn id="4" xr3:uid="{E7610910-F189-4B3E-9898-087A795267B0}" name="Event_type"/>
    <tableColumn id="5" xr3:uid="{B9774BF4-54C8-41BA-8ACA-BD815EC30C3B}" name="Failed_Login_Count"/>
    <tableColumn id="6" xr3:uid="{C5445770-F9A5-4BB2-94B2-AECDFA15BBB2}" name="Sensitive_File_Access"/>
    <tableColumn id="7" xr3:uid="{950FB4F7-46B7-4A8D-B231-CCDD430BFCD0}" name="Policy_Violation"/>
    <tableColumn id="8" xr3:uid="{41A4244D-90AB-4F9A-8BEB-03DA895EFD32}" name="Training_Status"/>
    <tableColumn id="9" xr3:uid="{3FDCC401-4779-4D0E-A3C1-B0C44CD1D855}" name="Audit_Status"/>
    <tableColumn id="10" xr3:uid="{3C984469-F413-4144-B3B8-1F736B06E42D}" name="Identified_Date" dataDxfId="7"/>
    <tableColumn id="11" xr3:uid="{68BE1CC3-7C09-4D3C-8B46-CF30CBA8CB15}" name="Due_Date" dataDxfId="6"/>
    <tableColumn id="12" xr3:uid="{C8B2AAA3-A62F-4E88-83E8-B1F9A40A5F00}" name="Risk_Score">
      <calculatedColumnFormula>E2*2+IF(F2="Yes",3,0)+IF(G2="Yes",3,0)+IF(H2="Pending",2,0)</calculatedColumnFormula>
    </tableColumn>
    <tableColumn id="13" xr3:uid="{5F8A770F-55CB-465E-ABA3-FB4CD3F9E2E7}" name="Risk_Level">
      <calculatedColumnFormula>IF(L2&gt;=15,"Critical",IF(L2&gt;=10,"High",IF(L2&gt;=5,"Medium","Low")))</calculatedColumnFormula>
    </tableColumn>
    <tableColumn id="14" xr3:uid="{A2EA5BC0-E7D2-42EE-97F7-CD86D0033EC2}" name="Risk_Priority" dataDxfId="5">
      <calculatedColumnFormula>IF(M2="Critical","Immediate Action",IF(M2="High","Priority Review",IF(M2="Medium","Monitor","Routine")))</calculatedColumnFormula>
    </tableColumn>
    <tableColumn id="15" xr3:uid="{B89F7B0B-3C6A-43BB-9582-86515AB5020C}" name="Audit_Timeliness" dataDxfId="4">
      <calculatedColumnFormula>IF(I2="Closed","Completed",IF(K2&lt;TODAY(),"Overdue","On Track"))</calculatedColumnFormula>
    </tableColumn>
    <tableColumn id="16" xr3:uid="{33FC5D28-1AE1-4AE6-822C-7A01544F9B8B}" name="Overall_Status" dataDxfId="3">
      <calculatedColumnFormula>IF(OR(M2="Critical",O2="Overdue"),"Action Required",IF(M2="High","Priority Review","Normal Monitoring"))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F234-15E4-4CAC-9CA6-06CA0ED7BF9A}">
  <dimension ref="A1:Q13"/>
  <sheetViews>
    <sheetView tabSelected="1" topLeftCell="E1" zoomScale="98" zoomScaleNormal="98" workbookViewId="0">
      <selection activeCell="L2" sqref="L2"/>
    </sheetView>
  </sheetViews>
  <sheetFormatPr defaultRowHeight="14.4" x14ac:dyDescent="0.3"/>
  <cols>
    <col min="1" max="1" width="16.21875" customWidth="1"/>
    <col min="2" max="2" width="13.6640625" customWidth="1"/>
    <col min="3" max="3" width="12.88671875" customWidth="1"/>
    <col min="4" max="4" width="14.88671875" customWidth="1"/>
    <col min="5" max="5" width="18.88671875" customWidth="1"/>
    <col min="6" max="6" width="21.109375" customWidth="1"/>
    <col min="7" max="7" width="16.21875" customWidth="1"/>
    <col min="8" max="8" width="15.5546875" customWidth="1"/>
    <col min="9" max="9" width="13.44140625" customWidth="1"/>
    <col min="10" max="10" width="15.6640625" customWidth="1"/>
    <col min="11" max="11" width="15.88671875" customWidth="1"/>
    <col min="12" max="12" width="12" customWidth="1"/>
    <col min="13" max="13" width="11.5546875" customWidth="1"/>
    <col min="14" max="14" width="16.109375" customWidth="1"/>
    <col min="15" max="15" width="13.21875" customWidth="1"/>
    <col min="16" max="16" width="17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50</v>
      </c>
      <c r="O1" t="s">
        <v>51</v>
      </c>
      <c r="P1" t="s">
        <v>52</v>
      </c>
    </row>
    <row r="2" spans="1:17" x14ac:dyDescent="0.3">
      <c r="A2" t="s">
        <v>13</v>
      </c>
      <c r="B2" t="s">
        <v>23</v>
      </c>
      <c r="C2" t="s">
        <v>33</v>
      </c>
      <c r="D2" t="s">
        <v>38</v>
      </c>
      <c r="E2">
        <v>7</v>
      </c>
      <c r="F2" t="s">
        <v>42</v>
      </c>
      <c r="G2" t="s">
        <v>42</v>
      </c>
      <c r="H2" t="s">
        <v>44</v>
      </c>
      <c r="I2" t="s">
        <v>46</v>
      </c>
      <c r="J2" s="1">
        <v>38930</v>
      </c>
      <c r="K2" s="1">
        <v>38939</v>
      </c>
      <c r="L2">
        <f>E2*2+IF(F2="Yes",3,0)+IF(G2="Yes",3,0)+IF(H2="Pending",2,0)</f>
        <v>14</v>
      </c>
      <c r="M2" t="str">
        <f>IF(L2&gt;=15,"Critical",IF(L2&gt;=10,"High",IF(L2&gt;=5,"Medium","Low")))</f>
        <v>High</v>
      </c>
      <c r="N2" t="str">
        <f t="shared" ref="N2:N11" si="0">IF(M2="Critical","Immediate Action",IF(M2="High","Priority Review",IF(M2="Medium","Monitor","Routine")))</f>
        <v>Priority Review</v>
      </c>
      <c r="O2" t="str">
        <f t="shared" ref="O2:O11" ca="1" si="1">IF(I2="Closed","Completed",IF(K2&lt;TODAY(),"Overdue","On Track"))</f>
        <v>Overdue</v>
      </c>
      <c r="P2" t="str">
        <f t="shared" ref="P2:P11" ca="1" si="2">IF(OR(M2="Critical",O2="Overdue"),"Action Required",IF(M2="High","Priority Review","Normal Monitoring"))</f>
        <v>Action Required</v>
      </c>
    </row>
    <row r="3" spans="1:17" x14ac:dyDescent="0.3">
      <c r="A3" t="s">
        <v>14</v>
      </c>
      <c r="B3" t="s">
        <v>24</v>
      </c>
      <c r="C3" t="s">
        <v>34</v>
      </c>
      <c r="D3" t="s">
        <v>39</v>
      </c>
      <c r="E3">
        <v>2</v>
      </c>
      <c r="F3" t="s">
        <v>43</v>
      </c>
      <c r="G3" t="s">
        <v>43</v>
      </c>
      <c r="H3" t="s">
        <v>45</v>
      </c>
      <c r="I3" t="s">
        <v>46</v>
      </c>
      <c r="J3" s="1">
        <v>38931</v>
      </c>
      <c r="K3" s="1">
        <v>38938</v>
      </c>
      <c r="L3">
        <f t="shared" ref="L3:L11" si="3">E3*2+IF(F3="Yes",3,0)+IF(G3="Yes",3,0)+IF(H3="Pending",2,0)</f>
        <v>12</v>
      </c>
      <c r="M3" t="str">
        <f t="shared" ref="M3:M11" si="4">IF(L3&gt;=15,"Critical",IF(L3&gt;=10,"High",IF(L3&gt;=5,"Medium","Low")))</f>
        <v>High</v>
      </c>
      <c r="N3" t="str">
        <f t="shared" si="0"/>
        <v>Priority Review</v>
      </c>
      <c r="O3" t="str">
        <f t="shared" ca="1" si="1"/>
        <v>Overdue</v>
      </c>
      <c r="P3" t="str">
        <f t="shared" ca="1" si="2"/>
        <v>Action Required</v>
      </c>
    </row>
    <row r="4" spans="1:17" x14ac:dyDescent="0.3">
      <c r="A4" t="s">
        <v>15</v>
      </c>
      <c r="B4" t="s">
        <v>25</v>
      </c>
      <c r="C4" t="s">
        <v>35</v>
      </c>
      <c r="D4" t="s">
        <v>40</v>
      </c>
      <c r="E4">
        <v>1</v>
      </c>
      <c r="F4" t="s">
        <v>42</v>
      </c>
      <c r="G4" t="s">
        <v>43</v>
      </c>
      <c r="H4" t="s">
        <v>44</v>
      </c>
      <c r="I4" t="s">
        <v>47</v>
      </c>
      <c r="J4" s="1">
        <v>38932</v>
      </c>
      <c r="K4" s="1">
        <v>38937</v>
      </c>
      <c r="L4">
        <f t="shared" si="3"/>
        <v>5</v>
      </c>
      <c r="M4" t="str">
        <f t="shared" si="4"/>
        <v>Medium</v>
      </c>
      <c r="N4" t="str">
        <f t="shared" si="0"/>
        <v>Monitor</v>
      </c>
      <c r="O4" t="str">
        <f t="shared" ca="1" si="1"/>
        <v>Completed</v>
      </c>
      <c r="P4" t="str">
        <f t="shared" ca="1" si="2"/>
        <v>Normal Monitoring</v>
      </c>
    </row>
    <row r="5" spans="1:17" x14ac:dyDescent="0.3">
      <c r="A5" t="s">
        <v>16</v>
      </c>
      <c r="B5" t="s">
        <v>26</v>
      </c>
      <c r="C5" t="s">
        <v>36</v>
      </c>
      <c r="D5" t="s">
        <v>41</v>
      </c>
      <c r="E5">
        <v>9</v>
      </c>
      <c r="F5" t="s">
        <v>43</v>
      </c>
      <c r="G5" t="s">
        <v>43</v>
      </c>
      <c r="H5" t="s">
        <v>45</v>
      </c>
      <c r="I5" t="s">
        <v>46</v>
      </c>
      <c r="J5" s="1">
        <v>38933</v>
      </c>
      <c r="K5" s="1">
        <v>38940</v>
      </c>
      <c r="L5">
        <f t="shared" si="3"/>
        <v>26</v>
      </c>
      <c r="M5" t="str">
        <f t="shared" si="4"/>
        <v>Critical</v>
      </c>
      <c r="N5" t="str">
        <f t="shared" si="0"/>
        <v>Immediate Action</v>
      </c>
      <c r="O5" t="str">
        <f t="shared" ca="1" si="1"/>
        <v>Overdue</v>
      </c>
      <c r="P5" t="str">
        <f t="shared" ca="1" si="2"/>
        <v>Action Required</v>
      </c>
    </row>
    <row r="6" spans="1:17" x14ac:dyDescent="0.3">
      <c r="A6" t="s">
        <v>17</v>
      </c>
      <c r="B6" t="s">
        <v>27</v>
      </c>
      <c r="C6" t="s">
        <v>37</v>
      </c>
      <c r="D6" t="s">
        <v>38</v>
      </c>
      <c r="E6">
        <v>4</v>
      </c>
      <c r="F6" t="s">
        <v>42</v>
      </c>
      <c r="G6" t="s">
        <v>42</v>
      </c>
      <c r="H6" t="s">
        <v>44</v>
      </c>
      <c r="I6" t="s">
        <v>47</v>
      </c>
      <c r="J6" s="1">
        <v>38934</v>
      </c>
      <c r="K6" s="1">
        <v>38941</v>
      </c>
      <c r="L6">
        <f t="shared" si="3"/>
        <v>8</v>
      </c>
      <c r="M6" t="str">
        <f t="shared" si="4"/>
        <v>Medium</v>
      </c>
      <c r="N6" t="str">
        <f t="shared" si="0"/>
        <v>Monitor</v>
      </c>
      <c r="O6" t="str">
        <f t="shared" ca="1" si="1"/>
        <v>Completed</v>
      </c>
      <c r="P6" t="str">
        <f t="shared" ca="1" si="2"/>
        <v>Normal Monitoring</v>
      </c>
    </row>
    <row r="7" spans="1:17" x14ac:dyDescent="0.3">
      <c r="A7" t="s">
        <v>18</v>
      </c>
      <c r="B7" t="s">
        <v>28</v>
      </c>
      <c r="C7" t="s">
        <v>34</v>
      </c>
      <c r="D7" t="s">
        <v>39</v>
      </c>
      <c r="E7">
        <v>6</v>
      </c>
      <c r="F7" t="s">
        <v>43</v>
      </c>
      <c r="G7" t="s">
        <v>42</v>
      </c>
      <c r="H7" t="s">
        <v>44</v>
      </c>
      <c r="I7" t="s">
        <v>48</v>
      </c>
      <c r="J7" s="1">
        <v>38935</v>
      </c>
      <c r="K7" s="1">
        <v>38942</v>
      </c>
      <c r="L7">
        <f t="shared" si="3"/>
        <v>15</v>
      </c>
      <c r="M7" t="str">
        <f t="shared" si="4"/>
        <v>Critical</v>
      </c>
      <c r="N7" t="str">
        <f t="shared" si="0"/>
        <v>Immediate Action</v>
      </c>
      <c r="O7" t="str">
        <f t="shared" ca="1" si="1"/>
        <v>Overdue</v>
      </c>
      <c r="P7" t="str">
        <f t="shared" ca="1" si="2"/>
        <v>Action Required</v>
      </c>
    </row>
    <row r="8" spans="1:17" x14ac:dyDescent="0.3">
      <c r="A8" t="s">
        <v>19</v>
      </c>
      <c r="B8" t="s">
        <v>29</v>
      </c>
      <c r="C8" t="s">
        <v>35</v>
      </c>
      <c r="D8" t="s">
        <v>41</v>
      </c>
      <c r="E8">
        <v>8</v>
      </c>
      <c r="F8" t="s">
        <v>43</v>
      </c>
      <c r="G8" t="s">
        <v>43</v>
      </c>
      <c r="H8" t="s">
        <v>45</v>
      </c>
      <c r="I8" t="s">
        <v>46</v>
      </c>
      <c r="J8" s="1">
        <v>38936</v>
      </c>
      <c r="K8" s="1">
        <v>38943</v>
      </c>
      <c r="L8">
        <f t="shared" si="3"/>
        <v>24</v>
      </c>
      <c r="M8" t="str">
        <f t="shared" si="4"/>
        <v>Critical</v>
      </c>
      <c r="N8" t="str">
        <f t="shared" si="0"/>
        <v>Immediate Action</v>
      </c>
      <c r="O8" t="str">
        <f t="shared" ca="1" si="1"/>
        <v>Overdue</v>
      </c>
      <c r="P8" t="str">
        <f t="shared" ca="1" si="2"/>
        <v>Action Required</v>
      </c>
    </row>
    <row r="9" spans="1:17" x14ac:dyDescent="0.3">
      <c r="A9" t="s">
        <v>20</v>
      </c>
      <c r="B9" t="s">
        <v>30</v>
      </c>
      <c r="C9" t="s">
        <v>36</v>
      </c>
      <c r="D9" t="s">
        <v>38</v>
      </c>
      <c r="E9">
        <v>3</v>
      </c>
      <c r="F9" t="s">
        <v>42</v>
      </c>
      <c r="G9" t="s">
        <v>42</v>
      </c>
      <c r="H9" t="s">
        <v>44</v>
      </c>
      <c r="I9" t="s">
        <v>47</v>
      </c>
      <c r="J9" s="1">
        <v>38937</v>
      </c>
      <c r="K9" s="1">
        <v>38944</v>
      </c>
      <c r="L9">
        <f t="shared" si="3"/>
        <v>6</v>
      </c>
      <c r="M9" t="str">
        <f t="shared" si="4"/>
        <v>Medium</v>
      </c>
      <c r="N9" t="str">
        <f t="shared" si="0"/>
        <v>Monitor</v>
      </c>
      <c r="O9" t="str">
        <f t="shared" ca="1" si="1"/>
        <v>Completed</v>
      </c>
      <c r="P9" t="str">
        <f t="shared" ca="1" si="2"/>
        <v>Normal Monitoring</v>
      </c>
    </row>
    <row r="10" spans="1:17" x14ac:dyDescent="0.3">
      <c r="A10" t="s">
        <v>21</v>
      </c>
      <c r="B10" t="s">
        <v>31</v>
      </c>
      <c r="C10" t="s">
        <v>33</v>
      </c>
      <c r="D10" t="s">
        <v>40</v>
      </c>
      <c r="E10">
        <v>5</v>
      </c>
      <c r="F10" t="s">
        <v>43</v>
      </c>
      <c r="G10" t="s">
        <v>43</v>
      </c>
      <c r="H10" t="s">
        <v>45</v>
      </c>
      <c r="I10" t="s">
        <v>46</v>
      </c>
      <c r="J10" s="1">
        <v>38938</v>
      </c>
      <c r="K10" s="1">
        <v>38945</v>
      </c>
      <c r="L10">
        <f t="shared" si="3"/>
        <v>18</v>
      </c>
      <c r="M10" t="str">
        <f t="shared" si="4"/>
        <v>Critical</v>
      </c>
      <c r="N10" t="str">
        <f t="shared" si="0"/>
        <v>Immediate Action</v>
      </c>
      <c r="O10" t="str">
        <f t="shared" ca="1" si="1"/>
        <v>Overdue</v>
      </c>
      <c r="P10" t="str">
        <f t="shared" ca="1" si="2"/>
        <v>Action Required</v>
      </c>
    </row>
    <row r="11" spans="1:17" x14ac:dyDescent="0.3">
      <c r="A11" t="s">
        <v>22</v>
      </c>
      <c r="B11" t="s">
        <v>32</v>
      </c>
      <c r="C11" t="s">
        <v>34</v>
      </c>
      <c r="D11" t="s">
        <v>41</v>
      </c>
      <c r="E11">
        <v>10</v>
      </c>
      <c r="F11" t="s">
        <v>43</v>
      </c>
      <c r="G11" t="s">
        <v>43</v>
      </c>
      <c r="H11" t="s">
        <v>45</v>
      </c>
      <c r="I11" t="s">
        <v>46</v>
      </c>
      <c r="J11" s="1">
        <v>38939</v>
      </c>
      <c r="K11" s="1">
        <v>38946</v>
      </c>
      <c r="L11">
        <f t="shared" si="3"/>
        <v>28</v>
      </c>
      <c r="M11" t="str">
        <f t="shared" si="4"/>
        <v>Critical</v>
      </c>
      <c r="N11" t="str">
        <f t="shared" si="0"/>
        <v>Immediate Action</v>
      </c>
      <c r="O11" t="str">
        <f t="shared" ca="1" si="1"/>
        <v>Overdue</v>
      </c>
      <c r="P11" t="str">
        <f t="shared" ca="1" si="2"/>
        <v>Action Required</v>
      </c>
    </row>
    <row r="13" spans="1:17" x14ac:dyDescent="0.3">
      <c r="Q13" t="s">
        <v>49</v>
      </c>
    </row>
  </sheetData>
  <phoneticPr fontId="1" type="noConversion"/>
  <conditionalFormatting sqref="M2:M11">
    <cfRule type="containsText" dxfId="2" priority="1" operator="containsText" text="medium">
      <formula>NOT(ISERROR(SEARCH("medium",M2)))</formula>
    </cfRule>
    <cfRule type="containsText" dxfId="1" priority="2" operator="containsText" text="high">
      <formula>NOT(ISERROR(SEARCH("high",M2)))</formula>
    </cfRule>
    <cfRule type="containsText" dxfId="0" priority="3" operator="containsText" text="critical">
      <formula>NOT(ISERROR(SEARCH("critical",M2)))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aathip2525@outlook.com</dc:creator>
  <cp:lastModifiedBy>aathip2525@outlook.com</cp:lastModifiedBy>
  <dcterms:created xsi:type="dcterms:W3CDTF">2026-08-17T17:03:10Z</dcterms:created>
  <dcterms:modified xsi:type="dcterms:W3CDTF">2026-08-19T02:20:44Z</dcterms:modified>
</cp:coreProperties>
</file>